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eshGosai\Github\ich_course_2026\"/>
    </mc:Choice>
  </mc:AlternateContent>
  <xr:revisionPtr revIDLastSave="0" documentId="13_ncr:1_{FBF99867-84E5-49A0-948D-3EFAA5BE9F7E}" xr6:coauthVersionLast="47" xr6:coauthVersionMax="47" xr10:uidLastSave="{00000000-0000-0000-0000-000000000000}"/>
  <bookViews>
    <workbookView xWindow="-98" yWindow="-98" windowWidth="21795" windowHeight="12975" xr2:uid="{D388FE8B-6A3A-4A63-AD43-2B2F2D807040}"/>
  </bookViews>
  <sheets>
    <sheet name="co2_fac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1" l="1"/>
  <c r="E11" i="1"/>
  <c r="E9" i="1"/>
  <c r="D9" i="1"/>
  <c r="C9" i="1"/>
  <c r="C11" i="1" s="1"/>
  <c r="D8" i="1"/>
  <c r="E8" i="1"/>
  <c r="C8" i="1"/>
</calcChain>
</file>

<file path=xl/sharedStrings.xml><?xml version="1.0" encoding="utf-8"?>
<sst xmlns="http://schemas.openxmlformats.org/spreadsheetml/2006/main" count="14" uniqueCount="13">
  <si>
    <t>MJ/kg</t>
  </si>
  <si>
    <t>MWh/tonne_fuel</t>
  </si>
  <si>
    <t>tonne_carbon/tonne_fuel</t>
  </si>
  <si>
    <t>tonne_co2/MWh</t>
  </si>
  <si>
    <t>Coal</t>
  </si>
  <si>
    <t>Gas</t>
  </si>
  <si>
    <t>Diesel</t>
  </si>
  <si>
    <t>Fuel CV</t>
  </si>
  <si>
    <t>m_CO2/m_carbon</t>
  </si>
  <si>
    <t>Fraction C in fuel</t>
  </si>
  <si>
    <t>C to CO2 ratio</t>
  </si>
  <si>
    <t>co2_per_MWh</t>
  </si>
  <si>
    <t>Converstion from fuel CV and Carbon fraction to co2_per_MWh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</si>
</sst>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2" fontId="0" fillId="2" borderId="1" xfId="0" applyNumberFormat="1" applyFill="1" applyBorder="1"/>
    <xf numFmtId="2" fontId="0" fillId="0" borderId="1" xfId="0" applyNumberFormat="1" applyBorder="1"/>
    <xf numFmtId="2" fontId="0" fillId="3" borderId="1" xfId="0" applyNumberFormat="1" applyFill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42A7-ADA9-4BF1-97D1-1690AF2117C1}">
  <dimension ref="A1:E11"/>
  <sheetViews>
    <sheetView tabSelected="1" workbookViewId="0">
      <selection activeCell="C8" sqref="C8"/>
    </sheetView>
  </sheetViews>
  <sheetFormatPr defaultRowHeight="14.25" x14ac:dyDescent="0.45"/>
  <cols>
    <col min="1" max="1" width="18.19921875" customWidth="1"/>
    <col min="2" max="2" width="21.73046875" customWidth="1"/>
    <col min="3" max="3" width="11.9296875" customWidth="1"/>
    <col min="4" max="5" width="11.73046875" customWidth="1"/>
    <col min="6" max="6" width="12" customWidth="1"/>
  </cols>
  <sheetData>
    <row r="1" spans="1:5" x14ac:dyDescent="0.45">
      <c r="A1" t="s">
        <v>12</v>
      </c>
    </row>
    <row r="3" spans="1:5" x14ac:dyDescent="0.45">
      <c r="A3" s="1"/>
      <c r="B3" s="1"/>
      <c r="C3" s="6" t="s">
        <v>4</v>
      </c>
      <c r="D3" s="6" t="s">
        <v>5</v>
      </c>
      <c r="E3" s="6" t="s">
        <v>6</v>
      </c>
    </row>
    <row r="4" spans="1:5" x14ac:dyDescent="0.45">
      <c r="A4" s="6" t="s">
        <v>7</v>
      </c>
      <c r="B4" s="1" t="s">
        <v>0</v>
      </c>
      <c r="C4" s="2">
        <v>20</v>
      </c>
      <c r="D4" s="2">
        <v>42</v>
      </c>
      <c r="E4" s="2">
        <v>46</v>
      </c>
    </row>
    <row r="5" spans="1:5" x14ac:dyDescent="0.45">
      <c r="A5" s="6" t="s">
        <v>9</v>
      </c>
      <c r="B5" s="1" t="s">
        <v>2</v>
      </c>
      <c r="C5" s="3">
        <v>0.5</v>
      </c>
      <c r="D5" s="3">
        <v>0.75</v>
      </c>
      <c r="E5" s="3">
        <v>0.86</v>
      </c>
    </row>
    <row r="6" spans="1:5" x14ac:dyDescent="0.45">
      <c r="A6" s="7"/>
    </row>
    <row r="7" spans="1:5" x14ac:dyDescent="0.45">
      <c r="A7" s="7"/>
    </row>
    <row r="8" spans="1:5" x14ac:dyDescent="0.45">
      <c r="A8" s="6" t="s">
        <v>7</v>
      </c>
      <c r="B8" s="1" t="s">
        <v>1</v>
      </c>
      <c r="C8" s="4">
        <f>C4/3600*1000</f>
        <v>5.5555555555555554</v>
      </c>
      <c r="D8" s="4">
        <f>D4/3600*1000</f>
        <v>11.666666666666668</v>
      </c>
      <c r="E8" s="4">
        <f>E4/3600*1000</f>
        <v>12.777777777777779</v>
      </c>
    </row>
    <row r="9" spans="1:5" x14ac:dyDescent="0.45">
      <c r="A9" s="6" t="s">
        <v>10</v>
      </c>
      <c r="B9" s="1" t="s">
        <v>8</v>
      </c>
      <c r="C9" s="4">
        <f>44/12</f>
        <v>3.6666666666666665</v>
      </c>
      <c r="D9" s="4">
        <f t="shared" ref="D9:E9" si="0">44/12</f>
        <v>3.6666666666666665</v>
      </c>
      <c r="E9" s="4">
        <f t="shared" si="0"/>
        <v>3.6666666666666665</v>
      </c>
    </row>
    <row r="10" spans="1:5" x14ac:dyDescent="0.45">
      <c r="A10" s="7"/>
    </row>
    <row r="11" spans="1:5" x14ac:dyDescent="0.45">
      <c r="A11" s="6" t="s">
        <v>11</v>
      </c>
      <c r="B11" s="1" t="s">
        <v>3</v>
      </c>
      <c r="C11" s="5">
        <f>C5*C9/C8</f>
        <v>0.33</v>
      </c>
      <c r="D11" s="5">
        <f>D5*D9/D8</f>
        <v>0.23571428571428568</v>
      </c>
      <c r="E11" s="5">
        <f>E5*E9/E8</f>
        <v>0.24678260869565216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co2_factor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Priyesh Gosai</dc:creator>
  <cp:lastModifiedBy>Priyesh Gosai</cp:lastModifiedBy>
  <dcterms:created xsi:type="dcterms:W3CDTF">2026-04-21T17:55:24Z</dcterms:created>
  <dcterms:modified xsi:type="dcterms:W3CDTF">2026-04-22T03:54:44Z</dcterms:modified>
</cp:coreProperties>
</file>